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marci\Downloads\"/>
    </mc:Choice>
  </mc:AlternateContent>
  <xr:revisionPtr revIDLastSave="0" documentId="13_ncr:1_{10D9CC68-4EFD-472C-A283-3C15C6E17F85}" xr6:coauthVersionLast="47" xr6:coauthVersionMax="47" xr10:uidLastSave="{00000000-0000-0000-0000-000000000000}"/>
  <bookViews>
    <workbookView xWindow="4530" yWindow="0" windowWidth="22635" windowHeight="15480" tabRatio="500" xr2:uid="{00000000-000D-0000-FFFF-FFFF00000000}"/>
  </bookViews>
  <sheets>
    <sheet name="Zadanie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19" i="1" l="1"/>
  <c r="C19" i="1"/>
  <c r="E18" i="1"/>
  <c r="C18" i="1"/>
  <c r="E17" i="1"/>
  <c r="C17" i="1"/>
  <c r="E16" i="1"/>
  <c r="C16" i="1"/>
  <c r="E15" i="1"/>
  <c r="C15" i="1"/>
  <c r="H11" i="1"/>
  <c r="E11" i="1"/>
  <c r="D11" i="1"/>
  <c r="C11" i="1"/>
  <c r="B11" i="1"/>
  <c r="H10" i="1"/>
  <c r="F10" i="1"/>
  <c r="G10" i="1" s="1"/>
  <c r="B19" i="1" s="1"/>
  <c r="D19" i="1" s="1"/>
  <c r="H9" i="1"/>
  <c r="F9" i="1"/>
  <c r="G9" i="1" s="1"/>
  <c r="B18" i="1" s="1"/>
  <c r="D18" i="1" s="1"/>
  <c r="H8" i="1"/>
  <c r="F8" i="1"/>
  <c r="G8" i="1" s="1"/>
  <c r="B17" i="1" s="1"/>
  <c r="D17" i="1" s="1"/>
  <c r="H7" i="1"/>
  <c r="F7" i="1"/>
  <c r="G7" i="1" s="1"/>
  <c r="B16" i="1" s="1"/>
  <c r="D16" i="1" s="1"/>
  <c r="H6" i="1"/>
  <c r="F6" i="1"/>
  <c r="G6" i="1" s="1"/>
  <c r="B15" i="1" l="1"/>
  <c r="D15" i="1" s="1"/>
  <c r="G11" i="1"/>
  <c r="F11" i="1"/>
</calcChain>
</file>

<file path=xl/sharedStrings.xml><?xml version="1.0" encoding="utf-8"?>
<sst xmlns="http://schemas.openxmlformats.org/spreadsheetml/2006/main" count="31" uniqueCount="25">
  <si>
    <t>SZKOLENIE AI  |  Analiza danych i weryfikacja formul</t>
  </si>
  <si>
    <t>Zadanie: kazda formula ponizej OBLICZA sie bez bledu, ale czesc liczy zla rzecz. Znajdz i napraw.</t>
  </si>
  <si>
    <t>Tabela 1. Sprzedaz miesieczna handlowcow (tys. zl)</t>
  </si>
  <si>
    <t>Handlowiec</t>
  </si>
  <si>
    <t>Sty</t>
  </si>
  <si>
    <t>Lut</t>
  </si>
  <si>
    <t>Mar</t>
  </si>
  <si>
    <t>Cel kw.</t>
  </si>
  <si>
    <t>Suma kw.</t>
  </si>
  <si>
    <t>% celu</t>
  </si>
  <si>
    <t>Srednia mies.</t>
  </si>
  <si>
    <t>Kowalska</t>
  </si>
  <si>
    <t>Nowak</t>
  </si>
  <si>
    <t>Wisniewski</t>
  </si>
  <si>
    <t>Lewandowska</t>
  </si>
  <si>
    <t>Zielinski</t>
  </si>
  <si>
    <t>RAZEM / SR.</t>
  </si>
  <si>
    <t>Tabela 2. Premia (regula: premia nalezy sie, gdy % celu &gt;= 90%)</t>
  </si>
  <si>
    <t>% celu (z Tab.1)</t>
  </si>
  <si>
    <t>Prog</t>
  </si>
  <si>
    <t>Premia?</t>
  </si>
  <si>
    <t>Kwota premii</t>
  </si>
  <si>
    <t>Stawka premii (zl):</t>
  </si>
  <si>
    <t>Prog (%):</t>
  </si>
  <si>
    <t>Zolte pola = miejsca, gdzie ukryto wade. Nie kazde zolte pole jest bledne w izolacji: czesc bledow PROPAGUJE sie z innej komorki.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</si>
</sst>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"/>
  </numFmts>
  <fonts count="8" x14ac:knownFonts="1">
    <font>
      <sz val="11"/>
      <color theme="1"/>
      <name val="Calibri"/>
      <family val="2"/>
      <charset val="1"/>
    </font>
    <font>
      <b/>
      <sz val="14"/>
      <color rgb="FF1F2A44"/>
      <name val="Arial"/>
      <family val="2"/>
      <charset val="238"/>
    </font>
    <font>
      <i/>
      <sz val="10"/>
      <color rgb="FF555555"/>
      <name val="Arial"/>
      <family val="2"/>
      <charset val="238"/>
    </font>
    <font>
      <b/>
      <sz val="11"/>
      <name val="Arial"/>
      <family val="2"/>
      <charset val="238"/>
    </font>
    <font>
      <b/>
      <sz val="11"/>
      <color rgb="FFFFFFFF"/>
      <name val="Arial"/>
      <family val="2"/>
      <charset val="238"/>
    </font>
    <font>
      <sz val="11"/>
      <name val="Arial"/>
      <family val="2"/>
      <charset val="238"/>
    </font>
    <font>
      <sz val="11"/>
      <color rgb="FF0000FF"/>
      <name val="Arial"/>
      <family val="2"/>
      <charset val="238"/>
    </font>
    <font>
      <sz val="9"/>
      <color rgb="FF8A0000"/>
      <name val="Arial"/>
      <family val="2"/>
      <charset val="238"/>
    </font>
  </fonts>
  <fills count="4">
    <fill>
      <patternFill patternType="none"/>
    </fill>
    <fill>
      <patternFill patternType="gray125"/>
    </fill>
    <fill>
      <patternFill patternType="solid">
        <fgColor rgb="FF1F2A44"/>
        <bgColor rgb="FF003366"/>
      </patternFill>
    </fill>
    <fill>
      <patternFill patternType="solid">
        <fgColor rgb="FFFFF3CD"/>
        <bgColor rgb="FFFFFFFF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7" fillId="0" borderId="0" xfId="0" applyFont="1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/>
    </xf>
    <xf numFmtId="0" fontId="5" fillId="0" borderId="1" xfId="0" applyFont="1" applyBorder="1"/>
    <xf numFmtId="0" fontId="5" fillId="3" borderId="1" xfId="0" applyFont="1" applyFill="1" applyBorder="1"/>
    <xf numFmtId="164" fontId="5" fillId="0" borderId="1" xfId="0" applyNumberFormat="1" applyFont="1" applyBorder="1"/>
    <xf numFmtId="0" fontId="3" fillId="0" borderId="1" xfId="0" applyFont="1" applyBorder="1"/>
    <xf numFmtId="164" fontId="3" fillId="3" borderId="1" xfId="0" applyNumberFormat="1" applyFont="1" applyFill="1" applyBorder="1"/>
    <xf numFmtId="165" fontId="3" fillId="0" borderId="1" xfId="0" applyNumberFormat="1" applyFont="1" applyBorder="1"/>
    <xf numFmtId="9" fontId="5" fillId="0" borderId="1" xfId="0" applyNumberFormat="1" applyFont="1" applyBorder="1"/>
    <xf numFmtId="3" fontId="5" fillId="3" borderId="1" xfId="0" applyNumberFormat="1" applyFont="1" applyFill="1" applyBorder="1"/>
    <xf numFmtId="0" fontId="5" fillId="0" borderId="0" xfId="0" applyFont="1"/>
    <xf numFmtId="0" fontId="6" fillId="0" borderId="0" xfId="0" applyFont="1"/>
    <xf numFmtId="9" fontId="6" fillId="0" borderId="0" xfId="0" applyNumberFormat="1" applyFont="1"/>
  </cellXfs>
  <cellStyles count="1">
    <cellStyle name="Normalny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A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3CD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A4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"/>
  <sheetViews>
    <sheetView showGridLines="0" tabSelected="1" topLeftCell="A3" zoomScaleNormal="100" workbookViewId="0">
      <selection activeCell="F20" sqref="F20"/>
    </sheetView>
  </sheetViews>
  <sheetFormatPr defaultColWidth="8.7109375" defaultRowHeight="15" x14ac:dyDescent="0.25"/>
  <cols>
    <col min="1" max="1" width="14" customWidth="1"/>
    <col min="2" max="4" width="10" customWidth="1"/>
    <col min="5" max="7" width="12" customWidth="1"/>
    <col min="8" max="8" width="14" customWidth="1"/>
  </cols>
  <sheetData>
    <row r="1" spans="1:8" ht="18" x14ac:dyDescent="0.25">
      <c r="A1" s="2" t="s">
        <v>0</v>
      </c>
    </row>
    <row r="2" spans="1:8" x14ac:dyDescent="0.25">
      <c r="A2" s="3" t="s">
        <v>1</v>
      </c>
    </row>
    <row r="4" spans="1:8" x14ac:dyDescent="0.25">
      <c r="A4" s="4" t="s">
        <v>2</v>
      </c>
    </row>
    <row r="5" spans="1:8" x14ac:dyDescent="0.25">
      <c r="A5" s="5" t="s">
        <v>3</v>
      </c>
      <c r="B5" s="5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5" t="s">
        <v>10</v>
      </c>
    </row>
    <row r="6" spans="1:8" x14ac:dyDescent="0.25">
      <c r="A6" s="6" t="s">
        <v>11</v>
      </c>
      <c r="B6" s="6">
        <v>120</v>
      </c>
      <c r="C6" s="6">
        <v>95</v>
      </c>
      <c r="D6" s="6">
        <v>140</v>
      </c>
      <c r="E6" s="6">
        <v>330</v>
      </c>
      <c r="F6" s="7">
        <f>SUM(B6:C6)</f>
        <v>215</v>
      </c>
      <c r="G6" s="8">
        <f>F6/E6</f>
        <v>0.65151515151515149</v>
      </c>
      <c r="H6" s="7">
        <f>(B6+C6+D6)/4</f>
        <v>88.75</v>
      </c>
    </row>
    <row r="7" spans="1:8" x14ac:dyDescent="0.25">
      <c r="A7" s="6" t="s">
        <v>12</v>
      </c>
      <c r="B7" s="6">
        <v>80</v>
      </c>
      <c r="C7" s="6">
        <v>210</v>
      </c>
      <c r="D7" s="6">
        <v>70</v>
      </c>
      <c r="E7" s="6">
        <v>300</v>
      </c>
      <c r="F7" s="7">
        <f>SUM(B7:C7)</f>
        <v>290</v>
      </c>
      <c r="G7" s="8">
        <f>F7/E7</f>
        <v>0.96666666666666667</v>
      </c>
      <c r="H7" s="7">
        <f>(B7+C7+D7)/4</f>
        <v>90</v>
      </c>
    </row>
    <row r="8" spans="1:8" x14ac:dyDescent="0.25">
      <c r="A8" s="6" t="s">
        <v>13</v>
      </c>
      <c r="B8" s="6">
        <v>150</v>
      </c>
      <c r="C8" s="6">
        <v>150</v>
      </c>
      <c r="D8" s="6">
        <v>150</v>
      </c>
      <c r="E8" s="6">
        <v>400</v>
      </c>
      <c r="F8" s="7">
        <f>SUM(B8:C8)</f>
        <v>300</v>
      </c>
      <c r="G8" s="8">
        <f>F8/E8</f>
        <v>0.75</v>
      </c>
      <c r="H8" s="7">
        <f>(B8+C8+D8)/4</f>
        <v>112.5</v>
      </c>
    </row>
    <row r="9" spans="1:8" x14ac:dyDescent="0.25">
      <c r="A9" s="6" t="s">
        <v>14</v>
      </c>
      <c r="B9" s="6">
        <v>60</v>
      </c>
      <c r="C9" s="6">
        <v>55</v>
      </c>
      <c r="D9" s="6">
        <v>300</v>
      </c>
      <c r="E9" s="6">
        <v>360</v>
      </c>
      <c r="F9" s="7">
        <f>SUM(B9:C9)</f>
        <v>115</v>
      </c>
      <c r="G9" s="8">
        <f>F9/E9</f>
        <v>0.31944444444444442</v>
      </c>
      <c r="H9" s="7">
        <f>(B9+C9+D9)/4</f>
        <v>103.75</v>
      </c>
    </row>
    <row r="10" spans="1:8" x14ac:dyDescent="0.25">
      <c r="A10" s="6" t="s">
        <v>15</v>
      </c>
      <c r="B10" s="6">
        <v>90</v>
      </c>
      <c r="C10" s="6">
        <v>100</v>
      </c>
      <c r="D10" s="6">
        <v>110</v>
      </c>
      <c r="E10" s="6">
        <v>300</v>
      </c>
      <c r="F10" s="7">
        <f>SUM(B10:C10)</f>
        <v>190</v>
      </c>
      <c r="G10" s="8">
        <f>F10/E10</f>
        <v>0.6333333333333333</v>
      </c>
      <c r="H10" s="7">
        <f>(B10+C10+D10)/4</f>
        <v>75</v>
      </c>
    </row>
    <row r="11" spans="1:8" x14ac:dyDescent="0.25">
      <c r="A11" s="9" t="s">
        <v>16</v>
      </c>
      <c r="B11" s="9">
        <f>SUM(B6:B10)</f>
        <v>500</v>
      </c>
      <c r="C11" s="9">
        <f>SUM(C6:C10)</f>
        <v>610</v>
      </c>
      <c r="D11" s="9">
        <f>SUM(D6:D10)</f>
        <v>770</v>
      </c>
      <c r="E11" s="9">
        <f>SUM(E6:E10)</f>
        <v>1690</v>
      </c>
      <c r="F11" s="9">
        <f>SUM(F6:F10)</f>
        <v>1110</v>
      </c>
      <c r="G11" s="10">
        <f>AVERAGE(G6:G10)</f>
        <v>0.66419191919191922</v>
      </c>
      <c r="H11" s="11">
        <f>AVERAGE(H6:H10)</f>
        <v>94</v>
      </c>
    </row>
    <row r="13" spans="1:8" x14ac:dyDescent="0.25">
      <c r="A13" s="4" t="s">
        <v>17</v>
      </c>
    </row>
    <row r="14" spans="1:8" x14ac:dyDescent="0.25">
      <c r="A14" s="5" t="s">
        <v>3</v>
      </c>
      <c r="B14" s="5" t="s">
        <v>18</v>
      </c>
      <c r="C14" s="5" t="s">
        <v>19</v>
      </c>
      <c r="D14" s="5" t="s">
        <v>20</v>
      </c>
      <c r="E14" s="5" t="s">
        <v>21</v>
      </c>
    </row>
    <row r="15" spans="1:8" x14ac:dyDescent="0.25">
      <c r="A15" s="6" t="s">
        <v>11</v>
      </c>
      <c r="B15" s="8">
        <f>G6</f>
        <v>0.65151515151515149</v>
      </c>
      <c r="C15" s="12">
        <f>$B$22</f>
        <v>0.9</v>
      </c>
      <c r="D15" s="7" t="str">
        <f>IF(B15&gt;C15,"TAK","NIE")</f>
        <v>NIE</v>
      </c>
      <c r="E15" s="13">
        <f>$B$21</f>
        <v>5000</v>
      </c>
    </row>
    <row r="16" spans="1:8" x14ac:dyDescent="0.25">
      <c r="A16" s="6" t="s">
        <v>12</v>
      </c>
      <c r="B16" s="8">
        <f>G7</f>
        <v>0.96666666666666667</v>
      </c>
      <c r="C16" s="12">
        <f>$B$22</f>
        <v>0.9</v>
      </c>
      <c r="D16" s="7" t="str">
        <f>IF(B16&gt;C16,"TAK","NIE")</f>
        <v>TAK</v>
      </c>
      <c r="E16" s="13">
        <f>$B$21</f>
        <v>5000</v>
      </c>
    </row>
    <row r="17" spans="1:8" x14ac:dyDescent="0.25">
      <c r="A17" s="6" t="s">
        <v>13</v>
      </c>
      <c r="B17" s="8">
        <f>G8</f>
        <v>0.75</v>
      </c>
      <c r="C17" s="12">
        <f>$B$22</f>
        <v>0.9</v>
      </c>
      <c r="D17" s="7" t="str">
        <f>IF(B17&gt;C17,"TAK","NIE")</f>
        <v>NIE</v>
      </c>
      <c r="E17" s="13">
        <f>$B$21</f>
        <v>5000</v>
      </c>
    </row>
    <row r="18" spans="1:8" x14ac:dyDescent="0.25">
      <c r="A18" s="6" t="s">
        <v>14</v>
      </c>
      <c r="B18" s="8">
        <f>G9</f>
        <v>0.31944444444444442</v>
      </c>
      <c r="C18" s="12">
        <f>$B$22</f>
        <v>0.9</v>
      </c>
      <c r="D18" s="7" t="str">
        <f>IF(B18&gt;C18,"TAK","NIE")</f>
        <v>NIE</v>
      </c>
      <c r="E18" s="13">
        <f>$B$21</f>
        <v>5000</v>
      </c>
    </row>
    <row r="19" spans="1:8" x14ac:dyDescent="0.25">
      <c r="A19" s="6" t="s">
        <v>15</v>
      </c>
      <c r="B19" s="8">
        <f>G10</f>
        <v>0.6333333333333333</v>
      </c>
      <c r="C19" s="12">
        <f>$B$22</f>
        <v>0.9</v>
      </c>
      <c r="D19" s="7" t="str">
        <f>IF(B19&gt;C19,"TAK","NIE")</f>
        <v>NIE</v>
      </c>
      <c r="E19" s="13">
        <f>$B$21</f>
        <v>5000</v>
      </c>
    </row>
    <row r="21" spans="1:8" x14ac:dyDescent="0.25">
      <c r="A21" s="14" t="s">
        <v>22</v>
      </c>
      <c r="B21" s="15">
        <v>5000</v>
      </c>
    </row>
    <row r="22" spans="1:8" x14ac:dyDescent="0.25">
      <c r="A22" s="14" t="s">
        <v>23</v>
      </c>
      <c r="B22" s="16">
        <v>0.9</v>
      </c>
    </row>
    <row r="25" spans="1:8" x14ac:dyDescent="0.25">
      <c r="A25" s="1" t="s">
        <v>24</v>
      </c>
      <c r="B25" s="1"/>
      <c r="C25" s="1"/>
      <c r="D25" s="1"/>
      <c r="E25" s="1"/>
      <c r="F25" s="1"/>
      <c r="G25" s="1"/>
      <c r="H25" s="1"/>
    </row>
  </sheetData>
  <mergeCells count="1">
    <mergeCell ref="A25:H25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Zadanie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Marcin Albiniak</cp:lastModifiedBy>
  <cp:revision>0</cp:revision>
  <dcterms:created xsi:type="dcterms:W3CDTF">2026-07-10T12:54:05Z</dcterms:created>
  <dcterms:modified xsi:type="dcterms:W3CDTF">2026-07-10T12:56:18Z</dcterms:modified>
  <dc:language>en-US</dc:language>
</cp:coreProperties>
</file>